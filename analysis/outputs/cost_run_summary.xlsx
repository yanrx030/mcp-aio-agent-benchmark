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hesis-code\analysis\outputs\"/>
    </mc:Choice>
  </mc:AlternateContent>
  <xr:revisionPtr revIDLastSave="0" documentId="8_{78182336-300C-4EA3-8369-882AB8FF14EC}" xr6:coauthVersionLast="47" xr6:coauthVersionMax="47" xr10:uidLastSave="{00000000-0000-0000-0000-000000000000}"/>
  <bookViews>
    <workbookView xWindow="16162" yWindow="5745" windowWidth="10261" windowHeight="10073"/>
  </bookViews>
  <sheets>
    <sheet name="cost_run_summ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2" i="1" l="1"/>
  <c r="R32" i="1"/>
  <c r="U27" i="1"/>
  <c r="U28" i="1"/>
  <c r="U29" i="1"/>
  <c r="U30" i="1"/>
  <c r="U25" i="1"/>
  <c r="S26" i="1"/>
  <c r="S27" i="1"/>
  <c r="S28" i="1"/>
  <c r="S29" i="1"/>
  <c r="S30" i="1"/>
  <c r="S25" i="1"/>
  <c r="N25" i="1"/>
  <c r="N26" i="1"/>
  <c r="U26" i="1" s="1"/>
  <c r="U34" i="1" s="1"/>
  <c r="N27" i="1"/>
  <c r="N28" i="1"/>
  <c r="N29" i="1"/>
  <c r="N30" i="1"/>
  <c r="R29" i="1"/>
  <c r="R30" i="1"/>
  <c r="R28" i="1"/>
  <c r="R27" i="1"/>
  <c r="R26" i="1"/>
  <c r="R25" i="1"/>
  <c r="M27" i="1"/>
  <c r="M28" i="1"/>
  <c r="M29" i="1"/>
  <c r="M30" i="1"/>
  <c r="M26" i="1"/>
  <c r="M25" i="1"/>
</calcChain>
</file>

<file path=xl/sharedStrings.xml><?xml version="1.0" encoding="utf-8"?>
<sst xmlns="http://schemas.openxmlformats.org/spreadsheetml/2006/main" count="95" uniqueCount="71">
  <si>
    <t>model_folder</t>
  </si>
  <si>
    <t>model</t>
  </si>
  <si>
    <t>run_index</t>
  </si>
  <si>
    <t>run_id</t>
  </si>
  <si>
    <t>tasks</t>
  </si>
  <si>
    <t>completed_tasks</t>
  </si>
  <si>
    <t>failed_tasks</t>
  </si>
  <si>
    <t>passed_tasks</t>
  </si>
  <si>
    <t>agent_total_input_tokens</t>
  </si>
  <si>
    <t>agent_total_output_tokens</t>
  </si>
  <si>
    <t>agent_total_tokens</t>
  </si>
  <si>
    <t>judge_total_tokens</t>
  </si>
  <si>
    <t>combined_total_tokens</t>
  </si>
  <si>
    <t>mean_agent_tokens</t>
  </si>
  <si>
    <t>median_agent_tokens</t>
  </si>
  <si>
    <t>mean_judge_tokens</t>
  </si>
  <si>
    <t>average_latency_seconds</t>
  </si>
  <si>
    <t>average_end_to_end_latency_seconds</t>
  </si>
  <si>
    <t>average_tool_calls</t>
  </si>
  <si>
    <t>average_steps</t>
  </si>
  <si>
    <t>pass_rate</t>
  </si>
  <si>
    <t>completion_rate</t>
  </si>
  <si>
    <t>agent_tokens_per_completed_task</t>
  </si>
  <si>
    <t>combined_tokens_per_passed_task</t>
  </si>
  <si>
    <t>judge_overhead_share</t>
  </si>
  <si>
    <t>claude-optus-4.6</t>
  </si>
  <si>
    <t>anthropic/claude-opus-4.6</t>
  </si>
  <si>
    <t>anthropic_claude-opus-4.6_20260512T082634Z</t>
  </si>
  <si>
    <t>anthropic_claude-opus-4.6_20260512T084016Z</t>
  </si>
  <si>
    <t>anthropic_claude-opus-4.6_20260512T085433Z</t>
  </si>
  <si>
    <t>claude-sonnet-4.6</t>
  </si>
  <si>
    <t>anthropic/claude-sonnet-4.6</t>
  </si>
  <si>
    <t>1anthropic_claude-sonnet-4.6_20260512T072817Z</t>
  </si>
  <si>
    <t>2anthropic_claude-sonnet-4.6_20260512T073036Z</t>
  </si>
  <si>
    <t>3anthropic_claude-sonnet-4.6_20260512T073516Z</t>
  </si>
  <si>
    <t>gpt5.5</t>
  </si>
  <si>
    <t>openai/gpt-5.5</t>
  </si>
  <si>
    <t>openai_gpt-5.5_20260512T075029Z</t>
  </si>
  <si>
    <t>openai_gpt-5.5_20260512T075044Z</t>
  </si>
  <si>
    <t>openai_gpt-5.5_20260512T075850Z</t>
  </si>
  <si>
    <t>kimi-k2.6</t>
  </si>
  <si>
    <t>moonshotai/kimi-k2.6</t>
  </si>
  <si>
    <t>1moonshotai_kimi-k2.6_20260512T065725Z</t>
  </si>
  <si>
    <t>2moonshotai_kimi-k2.6_20260512T071213Z</t>
  </si>
  <si>
    <t>3moonshotai_kimi-k2.6_20260512T071245Z</t>
  </si>
  <si>
    <t>llama4</t>
  </si>
  <si>
    <t>meta-llama/llama-4-scout</t>
  </si>
  <si>
    <t>1meta-llama_llama-4-scout_20260512T073401Z</t>
  </si>
  <si>
    <t>2meta-llama_llama-4-scout_20260512T073409Z</t>
  </si>
  <si>
    <t>3meta-llama_llama-4-scout_20260512T073743Z</t>
  </si>
  <si>
    <t>qwen3.6-plus</t>
  </si>
  <si>
    <t>qwen/qwen3.6-plus</t>
  </si>
  <si>
    <t>1qwen_qwen3.6-plus_20260512T065857Z</t>
  </si>
  <si>
    <t>2qwen_qwen3.6-plus_20260512T071153Z</t>
  </si>
  <si>
    <t>3qwen_qwen3.6-plus_20260512T071201Z</t>
  </si>
  <si>
    <t>optus</t>
    <phoneticPr fontId="18" type="noConversion"/>
  </si>
  <si>
    <t>cost per input</t>
    <phoneticPr fontId="18" type="noConversion"/>
  </si>
  <si>
    <t>total out</t>
    <phoneticPr fontId="18" type="noConversion"/>
  </si>
  <si>
    <t>total in</t>
    <phoneticPr fontId="18" type="noConversion"/>
  </si>
  <si>
    <t>total in cost</t>
    <phoneticPr fontId="18" type="noConversion"/>
  </si>
  <si>
    <t>cost per out</t>
    <phoneticPr fontId="18" type="noConversion"/>
  </si>
  <si>
    <t>total out cost</t>
    <phoneticPr fontId="18" type="noConversion"/>
  </si>
  <si>
    <t>total</t>
    <phoneticPr fontId="18" type="noConversion"/>
  </si>
  <si>
    <t>sonnet</t>
    <phoneticPr fontId="18" type="noConversion"/>
  </si>
  <si>
    <t>gpt5.5</t>
    <phoneticPr fontId="18" type="noConversion"/>
  </si>
  <si>
    <t>gemini</t>
    <phoneticPr fontId="18" type="noConversion"/>
  </si>
  <si>
    <t>agent</t>
    <phoneticPr fontId="18" type="noConversion"/>
  </si>
  <si>
    <t>qwen3.6-plus</t>
    <phoneticPr fontId="18" type="noConversion"/>
  </si>
  <si>
    <t>llama4</t>
    <phoneticPr fontId="18" type="noConversion"/>
  </si>
  <si>
    <t>kimi-k2.6</t>
    <phoneticPr fontId="18" type="noConversion"/>
  </si>
  <si>
    <t>judge - total across all run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</si>
</sst>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abSelected="1" topLeftCell="J1" zoomScale="61" workbookViewId="0">
      <selection activeCell="U34" sqref="J24:U34"/>
    </sheetView>
  </sheetViews>
  <sheetFormatPr defaultRowHeight="13.9" x14ac:dyDescent="0.4"/>
  <cols>
    <col min="1" max="1" width="17.796875" customWidth="1"/>
    <col min="4" max="4" width="19.53125" customWidth="1"/>
    <col min="9" max="9" width="20.3984375" style="1" customWidth="1"/>
    <col min="10" max="10" width="25.6640625" customWidth="1"/>
    <col min="12" max="12" width="14.6640625" customWidth="1"/>
    <col min="15" max="15" width="11.86328125" customWidth="1"/>
    <col min="23" max="23" width="29.33203125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25</v>
      </c>
      <c r="B2" t="s">
        <v>26</v>
      </c>
      <c r="C2">
        <v>1</v>
      </c>
      <c r="D2" t="s">
        <v>27</v>
      </c>
      <c r="E2">
        <v>35</v>
      </c>
      <c r="F2">
        <v>35</v>
      </c>
      <c r="G2">
        <v>0</v>
      </c>
      <c r="H2">
        <v>34</v>
      </c>
      <c r="I2" s="1">
        <v>618887</v>
      </c>
      <c r="J2">
        <v>40370</v>
      </c>
      <c r="K2">
        <v>659257</v>
      </c>
      <c r="L2">
        <v>55067</v>
      </c>
      <c r="M2">
        <v>714324</v>
      </c>
      <c r="N2">
        <v>18835.9142857142</v>
      </c>
      <c r="O2">
        <v>16741</v>
      </c>
      <c r="P2">
        <v>1573.3428571428501</v>
      </c>
      <c r="Q2">
        <v>24.182277268530498</v>
      </c>
      <c r="R2">
        <v>31.498313771441001</v>
      </c>
      <c r="S2">
        <v>4.5999999999999996</v>
      </c>
      <c r="T2">
        <v>3.0857142857142801</v>
      </c>
      <c r="U2">
        <v>0.97142857142857097</v>
      </c>
      <c r="V2">
        <v>1</v>
      </c>
      <c r="W2">
        <v>18835.9142857142</v>
      </c>
      <c r="X2">
        <v>21009.529411764699</v>
      </c>
      <c r="Y2">
        <v>7.7089667993795505E-2</v>
      </c>
    </row>
    <row r="3" spans="1:25" x14ac:dyDescent="0.4">
      <c r="A3" t="s">
        <v>25</v>
      </c>
      <c r="B3" t="s">
        <v>26</v>
      </c>
      <c r="C3">
        <v>2</v>
      </c>
      <c r="D3" t="s">
        <v>28</v>
      </c>
      <c r="E3">
        <v>35</v>
      </c>
      <c r="F3">
        <v>35</v>
      </c>
      <c r="G3">
        <v>0</v>
      </c>
      <c r="H3">
        <v>33</v>
      </c>
      <c r="I3" s="1">
        <v>636144</v>
      </c>
      <c r="J3">
        <v>43003</v>
      </c>
      <c r="K3">
        <v>679147</v>
      </c>
      <c r="L3">
        <v>55721</v>
      </c>
      <c r="M3">
        <v>734868</v>
      </c>
      <c r="N3">
        <v>19404.2</v>
      </c>
      <c r="O3">
        <v>16449</v>
      </c>
      <c r="P3">
        <v>1592.0285714285701</v>
      </c>
      <c r="Q3">
        <v>24.255166211444799</v>
      </c>
      <c r="R3">
        <v>31.743774825720301</v>
      </c>
      <c r="S3">
        <v>5.0571428571428498</v>
      </c>
      <c r="T3">
        <v>3.1142857142857099</v>
      </c>
      <c r="U3">
        <v>0.94285714285714195</v>
      </c>
      <c r="V3">
        <v>1</v>
      </c>
      <c r="W3">
        <v>19404.2</v>
      </c>
      <c r="X3">
        <v>22268.727272727199</v>
      </c>
      <c r="Y3">
        <v>7.5824501815292003E-2</v>
      </c>
    </row>
    <row r="4" spans="1:25" x14ac:dyDescent="0.4">
      <c r="A4" t="s">
        <v>25</v>
      </c>
      <c r="B4" t="s">
        <v>26</v>
      </c>
      <c r="C4">
        <v>3</v>
      </c>
      <c r="D4" t="s">
        <v>29</v>
      </c>
      <c r="E4">
        <v>35</v>
      </c>
      <c r="F4">
        <v>27</v>
      </c>
      <c r="G4">
        <v>8</v>
      </c>
      <c r="H4">
        <v>26</v>
      </c>
      <c r="I4" s="1">
        <v>474715</v>
      </c>
      <c r="J4">
        <v>28978</v>
      </c>
      <c r="K4">
        <v>503693</v>
      </c>
      <c r="L4">
        <v>29382</v>
      </c>
      <c r="M4">
        <v>533075</v>
      </c>
      <c r="N4">
        <v>14391.228571428501</v>
      </c>
      <c r="O4">
        <v>15360</v>
      </c>
      <c r="P4">
        <v>839.48571428571404</v>
      </c>
      <c r="Q4">
        <v>16.4016433085181</v>
      </c>
      <c r="R4">
        <v>20.345261574257101</v>
      </c>
      <c r="S4">
        <v>5.2592592592592498</v>
      </c>
      <c r="T4">
        <v>3.2962962962962901</v>
      </c>
      <c r="U4">
        <v>0.74285714285714199</v>
      </c>
      <c r="V4">
        <v>0.77142857142857102</v>
      </c>
      <c r="W4">
        <v>18655.296296296201</v>
      </c>
      <c r="X4">
        <v>20502.884615384599</v>
      </c>
      <c r="Y4">
        <v>5.5117947755944197E-2</v>
      </c>
    </row>
    <row r="5" spans="1:25" x14ac:dyDescent="0.4">
      <c r="A5" t="s">
        <v>30</v>
      </c>
      <c r="B5" t="s">
        <v>31</v>
      </c>
      <c r="C5">
        <v>1</v>
      </c>
      <c r="D5" t="s">
        <v>32</v>
      </c>
      <c r="E5">
        <v>35</v>
      </c>
      <c r="F5">
        <v>35</v>
      </c>
      <c r="G5">
        <v>0</v>
      </c>
      <c r="H5">
        <v>32</v>
      </c>
      <c r="I5" s="1">
        <v>677367</v>
      </c>
      <c r="J5">
        <v>46958</v>
      </c>
      <c r="K5">
        <v>724325</v>
      </c>
      <c r="L5">
        <v>53851</v>
      </c>
      <c r="M5">
        <v>778176</v>
      </c>
      <c r="N5">
        <v>20695</v>
      </c>
      <c r="O5">
        <v>17628</v>
      </c>
      <c r="P5">
        <v>1538.6</v>
      </c>
      <c r="Q5">
        <v>22.8901625714131</v>
      </c>
      <c r="R5">
        <v>30.426406571468601</v>
      </c>
      <c r="S5">
        <v>5.2</v>
      </c>
      <c r="T5">
        <v>3.2285714285714202</v>
      </c>
      <c r="U5">
        <v>0.91428571428571404</v>
      </c>
      <c r="V5">
        <v>1</v>
      </c>
      <c r="W5">
        <v>20695</v>
      </c>
      <c r="X5">
        <v>24318</v>
      </c>
      <c r="Y5">
        <v>6.9201568796775997E-2</v>
      </c>
    </row>
    <row r="6" spans="1:25" x14ac:dyDescent="0.4">
      <c r="A6" t="s">
        <v>30</v>
      </c>
      <c r="B6" t="s">
        <v>31</v>
      </c>
      <c r="C6">
        <v>2</v>
      </c>
      <c r="D6" t="s">
        <v>33</v>
      </c>
      <c r="E6">
        <v>35</v>
      </c>
      <c r="F6">
        <v>35</v>
      </c>
      <c r="G6">
        <v>0</v>
      </c>
      <c r="H6">
        <v>31</v>
      </c>
      <c r="I6" s="1">
        <v>671024</v>
      </c>
      <c r="J6">
        <v>49851</v>
      </c>
      <c r="K6">
        <v>720875</v>
      </c>
      <c r="L6">
        <v>54777</v>
      </c>
      <c r="M6">
        <v>775652</v>
      </c>
      <c r="N6">
        <v>20596.4285714285</v>
      </c>
      <c r="O6">
        <v>18679</v>
      </c>
      <c r="P6">
        <v>1565.05714285714</v>
      </c>
      <c r="Q6">
        <v>24.207909202908201</v>
      </c>
      <c r="R6">
        <v>31.724236494249499</v>
      </c>
      <c r="S6">
        <v>5.1714285714285699</v>
      </c>
      <c r="T6">
        <v>3.3714285714285701</v>
      </c>
      <c r="U6">
        <v>0.88571428571428501</v>
      </c>
      <c r="V6">
        <v>1</v>
      </c>
      <c r="W6">
        <v>20596.4285714285</v>
      </c>
      <c r="X6">
        <v>25021.032258064501</v>
      </c>
      <c r="Y6">
        <v>7.0620587583091393E-2</v>
      </c>
    </row>
    <row r="7" spans="1:25" x14ac:dyDescent="0.4">
      <c r="A7" t="s">
        <v>30</v>
      </c>
      <c r="B7" t="s">
        <v>31</v>
      </c>
      <c r="C7">
        <v>3</v>
      </c>
      <c r="D7" t="s">
        <v>34</v>
      </c>
      <c r="E7">
        <v>35</v>
      </c>
      <c r="F7">
        <v>35</v>
      </c>
      <c r="G7">
        <v>0</v>
      </c>
      <c r="H7">
        <v>29</v>
      </c>
      <c r="I7" s="1">
        <v>716510</v>
      </c>
      <c r="J7">
        <v>47506</v>
      </c>
      <c r="K7">
        <v>764016</v>
      </c>
      <c r="L7">
        <v>53126</v>
      </c>
      <c r="M7">
        <v>817142</v>
      </c>
      <c r="N7">
        <v>21829.028571428498</v>
      </c>
      <c r="O7">
        <v>17657</v>
      </c>
      <c r="P7">
        <v>1517.88571428571</v>
      </c>
      <c r="Q7">
        <v>23.0164404771423</v>
      </c>
      <c r="R7">
        <v>30.017789888501699</v>
      </c>
      <c r="S7">
        <v>5.1714285714285699</v>
      </c>
      <c r="T7">
        <v>3.4</v>
      </c>
      <c r="U7">
        <v>0.82857142857142796</v>
      </c>
      <c r="V7">
        <v>1</v>
      </c>
      <c r="W7">
        <v>21829.028571428498</v>
      </c>
      <c r="X7">
        <v>28177.3103448275</v>
      </c>
      <c r="Y7">
        <v>6.5014403861262796E-2</v>
      </c>
    </row>
    <row r="8" spans="1:25" x14ac:dyDescent="0.4">
      <c r="A8" t="s">
        <v>35</v>
      </c>
      <c r="B8" t="s">
        <v>36</v>
      </c>
      <c r="C8">
        <v>1</v>
      </c>
      <c r="D8" t="s">
        <v>37</v>
      </c>
      <c r="E8">
        <v>35</v>
      </c>
      <c r="F8">
        <v>35</v>
      </c>
      <c r="G8">
        <v>0</v>
      </c>
      <c r="H8">
        <v>29</v>
      </c>
      <c r="I8" s="1">
        <v>365361</v>
      </c>
      <c r="J8">
        <v>34481</v>
      </c>
      <c r="K8">
        <v>399842</v>
      </c>
      <c r="L8">
        <v>54628</v>
      </c>
      <c r="M8">
        <v>454470</v>
      </c>
      <c r="N8">
        <v>11424.0571428571</v>
      </c>
      <c r="O8">
        <v>8095</v>
      </c>
      <c r="P8">
        <v>1560.8</v>
      </c>
      <c r="Q8">
        <v>23.511026654279298</v>
      </c>
      <c r="R8">
        <v>31.340462385716702</v>
      </c>
      <c r="S8">
        <v>5.1714285714285699</v>
      </c>
      <c r="T8">
        <v>3.0857142857142801</v>
      </c>
      <c r="U8">
        <v>0.82857142857142796</v>
      </c>
      <c r="V8">
        <v>1</v>
      </c>
      <c r="W8">
        <v>11424.0571428571</v>
      </c>
      <c r="X8">
        <v>15671.379310344801</v>
      </c>
      <c r="Y8">
        <v>0.12020155345787401</v>
      </c>
    </row>
    <row r="9" spans="1:25" x14ac:dyDescent="0.4">
      <c r="A9" t="s">
        <v>35</v>
      </c>
      <c r="B9" t="s">
        <v>36</v>
      </c>
      <c r="C9">
        <v>2</v>
      </c>
      <c r="D9" t="s">
        <v>38</v>
      </c>
      <c r="E9">
        <v>35</v>
      </c>
      <c r="F9">
        <v>35</v>
      </c>
      <c r="G9">
        <v>0</v>
      </c>
      <c r="H9">
        <v>29</v>
      </c>
      <c r="I9" s="1">
        <v>305427</v>
      </c>
      <c r="J9">
        <v>31945</v>
      </c>
      <c r="K9">
        <v>337372</v>
      </c>
      <c r="L9">
        <v>53696</v>
      </c>
      <c r="M9">
        <v>391068</v>
      </c>
      <c r="N9">
        <v>9639.2000000000007</v>
      </c>
      <c r="O9">
        <v>8048</v>
      </c>
      <c r="P9">
        <v>1534.1714285714199</v>
      </c>
      <c r="Q9">
        <v>21.721912614284399</v>
      </c>
      <c r="R9">
        <v>29.2972106857192</v>
      </c>
      <c r="S9">
        <v>5.0285714285714196</v>
      </c>
      <c r="T9">
        <v>2.8857142857142799</v>
      </c>
      <c r="U9">
        <v>0.82857142857142796</v>
      </c>
      <c r="V9">
        <v>1</v>
      </c>
      <c r="W9">
        <v>9639.2000000000007</v>
      </c>
      <c r="X9">
        <v>13485.1034482758</v>
      </c>
      <c r="Y9">
        <v>0.13730604396166299</v>
      </c>
    </row>
    <row r="10" spans="1:25" x14ac:dyDescent="0.4">
      <c r="A10" t="s">
        <v>35</v>
      </c>
      <c r="B10" t="s">
        <v>36</v>
      </c>
      <c r="C10">
        <v>3</v>
      </c>
      <c r="D10" t="s">
        <v>39</v>
      </c>
      <c r="E10">
        <v>35</v>
      </c>
      <c r="F10">
        <v>35</v>
      </c>
      <c r="G10">
        <v>0</v>
      </c>
      <c r="H10">
        <v>31</v>
      </c>
      <c r="I10" s="1">
        <v>314468</v>
      </c>
      <c r="J10">
        <v>32256</v>
      </c>
      <c r="K10">
        <v>346724</v>
      </c>
      <c r="L10">
        <v>50847</v>
      </c>
      <c r="M10">
        <v>397571</v>
      </c>
      <c r="N10">
        <v>9906.4</v>
      </c>
      <c r="O10">
        <v>8127</v>
      </c>
      <c r="P10">
        <v>1452.7714285714201</v>
      </c>
      <c r="Q10">
        <v>22.1376179171526</v>
      </c>
      <c r="R10">
        <v>28.881704545704501</v>
      </c>
      <c r="S10">
        <v>4.2857142857142803</v>
      </c>
      <c r="T10">
        <v>2.8571428571428501</v>
      </c>
      <c r="U10">
        <v>0.88571428571428501</v>
      </c>
      <c r="V10">
        <v>1</v>
      </c>
      <c r="W10">
        <v>9906.4</v>
      </c>
      <c r="X10">
        <v>12824.870967741899</v>
      </c>
      <c r="Y10">
        <v>0.12789413714782999</v>
      </c>
    </row>
    <row r="11" spans="1:25" x14ac:dyDescent="0.4">
      <c r="A11" t="s">
        <v>40</v>
      </c>
      <c r="B11" t="s">
        <v>41</v>
      </c>
      <c r="C11">
        <v>1</v>
      </c>
      <c r="D11" t="s">
        <v>42</v>
      </c>
      <c r="E11">
        <v>35</v>
      </c>
      <c r="F11">
        <v>33</v>
      </c>
      <c r="G11">
        <v>2</v>
      </c>
      <c r="H11">
        <v>31</v>
      </c>
      <c r="I11" s="1">
        <v>660050</v>
      </c>
      <c r="J11">
        <v>66583</v>
      </c>
      <c r="K11">
        <v>726633</v>
      </c>
      <c r="L11">
        <v>51959</v>
      </c>
      <c r="M11">
        <v>778592</v>
      </c>
      <c r="N11">
        <v>20760.9428571428</v>
      </c>
      <c r="O11">
        <v>12228</v>
      </c>
      <c r="P11">
        <v>1484.5428571428499</v>
      </c>
      <c r="Q11">
        <v>75.371449325752494</v>
      </c>
      <c r="R11">
        <v>82.713291654309998</v>
      </c>
      <c r="S11">
        <v>6.6969696969696901</v>
      </c>
      <c r="T11">
        <v>4.3030303030303001</v>
      </c>
      <c r="U11">
        <v>0.88571428571428501</v>
      </c>
      <c r="V11">
        <v>0.94285714285714195</v>
      </c>
      <c r="W11">
        <v>22019.181818181802</v>
      </c>
      <c r="X11">
        <v>25115.870967741899</v>
      </c>
      <c r="Y11">
        <v>6.6734567013275195E-2</v>
      </c>
    </row>
    <row r="12" spans="1:25" x14ac:dyDescent="0.4">
      <c r="A12" t="s">
        <v>40</v>
      </c>
      <c r="B12" t="s">
        <v>41</v>
      </c>
      <c r="C12">
        <v>2</v>
      </c>
      <c r="D12" t="s">
        <v>43</v>
      </c>
      <c r="E12">
        <v>35</v>
      </c>
      <c r="F12">
        <v>35</v>
      </c>
      <c r="G12">
        <v>0</v>
      </c>
      <c r="H12">
        <v>30</v>
      </c>
      <c r="I12" s="1">
        <v>716888</v>
      </c>
      <c r="J12">
        <v>99290</v>
      </c>
      <c r="K12">
        <v>816178</v>
      </c>
      <c r="L12">
        <v>52220</v>
      </c>
      <c r="M12">
        <v>868398</v>
      </c>
      <c r="N12">
        <v>23319.371428571401</v>
      </c>
      <c r="O12">
        <v>15214</v>
      </c>
      <c r="P12">
        <v>1492</v>
      </c>
      <c r="Q12">
        <v>95.076736002907694</v>
      </c>
      <c r="R12">
        <v>102.39904614287801</v>
      </c>
      <c r="S12">
        <v>7.0571428571428498</v>
      </c>
      <c r="T12">
        <v>4.1714285714285699</v>
      </c>
      <c r="U12">
        <v>0.85714285714285698</v>
      </c>
      <c r="V12">
        <v>1</v>
      </c>
      <c r="W12">
        <v>23319.371428571401</v>
      </c>
      <c r="X12">
        <v>28946.6</v>
      </c>
      <c r="Y12">
        <v>6.0133717488985397E-2</v>
      </c>
    </row>
    <row r="13" spans="1:25" x14ac:dyDescent="0.4">
      <c r="A13" t="s">
        <v>40</v>
      </c>
      <c r="B13" t="s">
        <v>41</v>
      </c>
      <c r="C13">
        <v>3</v>
      </c>
      <c r="D13" t="s">
        <v>44</v>
      </c>
      <c r="E13">
        <v>35</v>
      </c>
      <c r="F13">
        <v>35</v>
      </c>
      <c r="G13">
        <v>0</v>
      </c>
      <c r="H13">
        <v>29</v>
      </c>
      <c r="I13" s="1">
        <v>649463</v>
      </c>
      <c r="J13">
        <v>77201</v>
      </c>
      <c r="K13">
        <v>726664</v>
      </c>
      <c r="L13">
        <v>51643</v>
      </c>
      <c r="M13">
        <v>778307</v>
      </c>
      <c r="N13">
        <v>20761.828571428501</v>
      </c>
      <c r="O13">
        <v>13100</v>
      </c>
      <c r="P13">
        <v>1475.51428571428</v>
      </c>
      <c r="Q13">
        <v>76.115297342890003</v>
      </c>
      <c r="R13">
        <v>83.298773500043893</v>
      </c>
      <c r="S13">
        <v>7.6571428571428504</v>
      </c>
      <c r="T13">
        <v>3.9142857142857101</v>
      </c>
      <c r="U13">
        <v>0.82857142857142796</v>
      </c>
      <c r="V13">
        <v>1</v>
      </c>
      <c r="W13">
        <v>20761.828571428501</v>
      </c>
      <c r="X13">
        <v>26838.172413793101</v>
      </c>
      <c r="Y13">
        <v>6.6352994383964095E-2</v>
      </c>
    </row>
    <row r="14" spans="1:25" x14ac:dyDescent="0.4">
      <c r="A14" t="s">
        <v>45</v>
      </c>
      <c r="B14" t="s">
        <v>46</v>
      </c>
      <c r="C14">
        <v>1</v>
      </c>
      <c r="D14" t="s">
        <v>47</v>
      </c>
      <c r="E14">
        <v>35</v>
      </c>
      <c r="F14">
        <v>32</v>
      </c>
      <c r="G14">
        <v>3</v>
      </c>
      <c r="H14">
        <v>1</v>
      </c>
      <c r="I14" s="1">
        <v>288105</v>
      </c>
      <c r="J14">
        <v>7172</v>
      </c>
      <c r="K14">
        <v>295277</v>
      </c>
      <c r="L14">
        <v>32421</v>
      </c>
      <c r="M14">
        <v>327698</v>
      </c>
      <c r="N14">
        <v>8436.4857142857109</v>
      </c>
      <c r="O14">
        <v>7322</v>
      </c>
      <c r="P14">
        <v>926.31428571428501</v>
      </c>
      <c r="Q14">
        <v>23.245243042857101</v>
      </c>
      <c r="R14">
        <v>28.340405539996901</v>
      </c>
      <c r="S14">
        <v>1.78125</v>
      </c>
      <c r="T14">
        <v>2.40625</v>
      </c>
      <c r="U14">
        <v>2.8571428571428501E-2</v>
      </c>
      <c r="V14">
        <v>0.91428571428571404</v>
      </c>
      <c r="W14">
        <v>9227.40625</v>
      </c>
      <c r="X14">
        <v>327698</v>
      </c>
      <c r="Y14">
        <v>9.8935605343944702E-2</v>
      </c>
    </row>
    <row r="15" spans="1:25" x14ac:dyDescent="0.4">
      <c r="A15" t="s">
        <v>45</v>
      </c>
      <c r="B15" t="s">
        <v>46</v>
      </c>
      <c r="C15">
        <v>2</v>
      </c>
      <c r="D15" t="s">
        <v>48</v>
      </c>
      <c r="E15">
        <v>35</v>
      </c>
      <c r="F15">
        <v>33</v>
      </c>
      <c r="G15">
        <v>2</v>
      </c>
      <c r="H15">
        <v>3</v>
      </c>
      <c r="I15" s="1">
        <v>306394</v>
      </c>
      <c r="J15">
        <v>8682</v>
      </c>
      <c r="K15">
        <v>315076</v>
      </c>
      <c r="L15">
        <v>37825</v>
      </c>
      <c r="M15">
        <v>352901</v>
      </c>
      <c r="N15">
        <v>9002.1714285714206</v>
      </c>
      <c r="O15">
        <v>7676</v>
      </c>
      <c r="P15">
        <v>1080.7142857142801</v>
      </c>
      <c r="Q15">
        <v>23.995247897138199</v>
      </c>
      <c r="R15">
        <v>30.2994538942867</v>
      </c>
      <c r="S15">
        <v>1.6969696969696899</v>
      </c>
      <c r="T15">
        <v>2.4242424242424199</v>
      </c>
      <c r="U15">
        <v>8.5714285714285701E-2</v>
      </c>
      <c r="V15">
        <v>0.94285714285714195</v>
      </c>
      <c r="W15">
        <v>9547.7575757575705</v>
      </c>
      <c r="X15">
        <v>117633.666666666</v>
      </c>
      <c r="Y15">
        <v>0.107183034335408</v>
      </c>
    </row>
    <row r="16" spans="1:25" x14ac:dyDescent="0.4">
      <c r="A16" t="s">
        <v>45</v>
      </c>
      <c r="B16" t="s">
        <v>46</v>
      </c>
      <c r="C16">
        <v>3</v>
      </c>
      <c r="D16" t="s">
        <v>49</v>
      </c>
      <c r="E16">
        <v>35</v>
      </c>
      <c r="F16">
        <v>34</v>
      </c>
      <c r="G16">
        <v>1</v>
      </c>
      <c r="H16">
        <v>3</v>
      </c>
      <c r="I16" s="1">
        <v>393928</v>
      </c>
      <c r="J16">
        <v>8223</v>
      </c>
      <c r="K16">
        <v>402151</v>
      </c>
      <c r="L16">
        <v>35725</v>
      </c>
      <c r="M16">
        <v>437876</v>
      </c>
      <c r="N16">
        <v>11490.0285714285</v>
      </c>
      <c r="O16">
        <v>7963</v>
      </c>
      <c r="P16">
        <v>1020.71428571428</v>
      </c>
      <c r="Q16">
        <v>15.0528597285738</v>
      </c>
      <c r="R16">
        <v>20.518887517145501</v>
      </c>
      <c r="S16">
        <v>2.2941176470588198</v>
      </c>
      <c r="T16">
        <v>3.02941176470588</v>
      </c>
      <c r="U16">
        <v>8.5714285714285701E-2</v>
      </c>
      <c r="V16">
        <v>0.97142857142857097</v>
      </c>
      <c r="W16">
        <v>11827.970588235199</v>
      </c>
      <c r="X16">
        <v>145958.66666666599</v>
      </c>
      <c r="Y16">
        <v>8.1587024637111802E-2</v>
      </c>
    </row>
    <row r="17" spans="1:25" x14ac:dyDescent="0.4">
      <c r="A17" t="s">
        <v>50</v>
      </c>
      <c r="B17" t="s">
        <v>51</v>
      </c>
      <c r="C17">
        <v>1</v>
      </c>
      <c r="D17" t="s">
        <v>52</v>
      </c>
      <c r="E17">
        <v>35</v>
      </c>
      <c r="F17">
        <v>35</v>
      </c>
      <c r="G17">
        <v>0</v>
      </c>
      <c r="H17">
        <v>28</v>
      </c>
      <c r="I17" s="1">
        <v>664793</v>
      </c>
      <c r="J17">
        <v>84229</v>
      </c>
      <c r="K17">
        <v>749022</v>
      </c>
      <c r="L17">
        <v>46240</v>
      </c>
      <c r="M17">
        <v>795262</v>
      </c>
      <c r="N17">
        <v>21400.6285714285</v>
      </c>
      <c r="O17">
        <v>16820</v>
      </c>
      <c r="P17">
        <v>1321.1428571428501</v>
      </c>
      <c r="Q17">
        <v>51.762773134288302</v>
      </c>
      <c r="R17">
        <v>58.127921942855899</v>
      </c>
      <c r="S17">
        <v>5.4571428571428502</v>
      </c>
      <c r="T17">
        <v>3.94285714285714</v>
      </c>
      <c r="U17">
        <v>0.8</v>
      </c>
      <c r="V17">
        <v>1</v>
      </c>
      <c r="W17">
        <v>21400.6285714285</v>
      </c>
      <c r="X17">
        <v>28402.214285714199</v>
      </c>
      <c r="Y17">
        <v>5.81443599719337E-2</v>
      </c>
    </row>
    <row r="18" spans="1:25" x14ac:dyDescent="0.4">
      <c r="A18" t="s">
        <v>50</v>
      </c>
      <c r="B18" t="s">
        <v>51</v>
      </c>
      <c r="C18">
        <v>2</v>
      </c>
      <c r="D18" t="s">
        <v>53</v>
      </c>
      <c r="E18">
        <v>35</v>
      </c>
      <c r="F18">
        <v>35</v>
      </c>
      <c r="G18">
        <v>0</v>
      </c>
      <c r="H18">
        <v>30</v>
      </c>
      <c r="I18" s="1">
        <v>759318</v>
      </c>
      <c r="J18">
        <v>79051</v>
      </c>
      <c r="K18">
        <v>838369</v>
      </c>
      <c r="L18">
        <v>49591</v>
      </c>
      <c r="M18">
        <v>887960</v>
      </c>
      <c r="N18">
        <v>23953.4</v>
      </c>
      <c r="O18">
        <v>15123</v>
      </c>
      <c r="P18">
        <v>1416.88571428571</v>
      </c>
      <c r="Q18">
        <v>47.9490730599965</v>
      </c>
      <c r="R18">
        <v>55.291649774285702</v>
      </c>
      <c r="S18">
        <v>6.3142857142857096</v>
      </c>
      <c r="T18">
        <v>4.1714285714285699</v>
      </c>
      <c r="U18">
        <v>0.85714285714285698</v>
      </c>
      <c r="V18">
        <v>1</v>
      </c>
      <c r="W18">
        <v>23953.4</v>
      </c>
      <c r="X18">
        <v>29598.666666666599</v>
      </c>
      <c r="Y18">
        <v>5.5848236407045303E-2</v>
      </c>
    </row>
    <row r="19" spans="1:25" x14ac:dyDescent="0.4">
      <c r="A19" t="s">
        <v>50</v>
      </c>
      <c r="B19" t="s">
        <v>51</v>
      </c>
      <c r="C19">
        <v>3</v>
      </c>
      <c r="D19" t="s">
        <v>54</v>
      </c>
      <c r="E19">
        <v>35</v>
      </c>
      <c r="F19">
        <v>35</v>
      </c>
      <c r="G19">
        <v>0</v>
      </c>
      <c r="H19">
        <v>30</v>
      </c>
      <c r="I19" s="1">
        <v>740047</v>
      </c>
      <c r="J19">
        <v>95652</v>
      </c>
      <c r="K19">
        <v>835699</v>
      </c>
      <c r="L19">
        <v>50431</v>
      </c>
      <c r="M19">
        <v>886130</v>
      </c>
      <c r="N19">
        <v>23877.1142857142</v>
      </c>
      <c r="O19">
        <v>16875</v>
      </c>
      <c r="P19">
        <v>1440.88571428571</v>
      </c>
      <c r="Q19">
        <v>56.343130888567003</v>
      </c>
      <c r="R19">
        <v>63.730845551425503</v>
      </c>
      <c r="S19">
        <v>6.1142857142857103</v>
      </c>
      <c r="T19">
        <v>4.1142857142857103</v>
      </c>
      <c r="U19">
        <v>0.85714285714285698</v>
      </c>
      <c r="V19">
        <v>1</v>
      </c>
      <c r="W19">
        <v>23877.1142857142</v>
      </c>
      <c r="X19">
        <v>29537.666666666599</v>
      </c>
      <c r="Y19">
        <v>5.6911514111924799E-2</v>
      </c>
    </row>
    <row r="24" spans="1:25" x14ac:dyDescent="0.4">
      <c r="L24" t="s">
        <v>56</v>
      </c>
      <c r="M24" t="s">
        <v>58</v>
      </c>
      <c r="N24" t="s">
        <v>59</v>
      </c>
      <c r="Q24" t="s">
        <v>60</v>
      </c>
      <c r="R24" t="s">
        <v>57</v>
      </c>
      <c r="S24" t="s">
        <v>61</v>
      </c>
      <c r="U24" t="s">
        <v>62</v>
      </c>
    </row>
    <row r="25" spans="1:25" x14ac:dyDescent="0.4">
      <c r="J25" t="s">
        <v>66</v>
      </c>
      <c r="K25" t="s">
        <v>55</v>
      </c>
      <c r="L25">
        <v>5</v>
      </c>
      <c r="M25">
        <f>SUM(I2:I4)</f>
        <v>1729746</v>
      </c>
      <c r="N25">
        <f>(M25/1000000)*L25</f>
        <v>8.6487300000000005</v>
      </c>
      <c r="Q25">
        <v>25</v>
      </c>
      <c r="R25">
        <f>SUM(J2:J4)</f>
        <v>112351</v>
      </c>
      <c r="S25">
        <f>(R25/1000000)*Q25</f>
        <v>2.8087750000000002</v>
      </c>
      <c r="U25">
        <f>N25+S25</f>
        <v>11.457505000000001</v>
      </c>
    </row>
    <row r="26" spans="1:25" x14ac:dyDescent="0.4">
      <c r="K26" t="s">
        <v>63</v>
      </c>
      <c r="L26">
        <v>3</v>
      </c>
      <c r="M26">
        <f>SUM(I5:I7)</f>
        <v>2064901</v>
      </c>
      <c r="N26">
        <f t="shared" ref="N26:N30" si="0">(M26/1000000)*L26</f>
        <v>6.1947029999999996</v>
      </c>
      <c r="Q26">
        <v>15</v>
      </c>
      <c r="R26">
        <f>SUM(J5:J7)</f>
        <v>144315</v>
      </c>
      <c r="S26">
        <f t="shared" ref="S26:S32" si="1">(R26/1000000)*Q26</f>
        <v>2.1647249999999998</v>
      </c>
      <c r="U26">
        <f t="shared" ref="U26:U30" si="2">N26+S26</f>
        <v>8.3594279999999994</v>
      </c>
    </row>
    <row r="27" spans="1:25" x14ac:dyDescent="0.4">
      <c r="K27" t="s">
        <v>64</v>
      </c>
      <c r="L27">
        <v>5</v>
      </c>
      <c r="M27">
        <f>SUM(I8:I10)</f>
        <v>985256</v>
      </c>
      <c r="N27">
        <f t="shared" si="0"/>
        <v>4.9262800000000002</v>
      </c>
      <c r="Q27">
        <v>30</v>
      </c>
      <c r="R27">
        <f>SUM(J8:J10)</f>
        <v>98682</v>
      </c>
      <c r="S27">
        <f t="shared" si="1"/>
        <v>2.9604600000000003</v>
      </c>
      <c r="U27">
        <f t="shared" si="2"/>
        <v>7.8867400000000005</v>
      </c>
    </row>
    <row r="28" spans="1:25" x14ac:dyDescent="0.4">
      <c r="K28" t="s">
        <v>69</v>
      </c>
      <c r="L28">
        <v>0.74</v>
      </c>
      <c r="M28">
        <f>SUM(I11:I13)</f>
        <v>2026401</v>
      </c>
      <c r="N28">
        <f t="shared" si="0"/>
        <v>1.4995367399999999</v>
      </c>
      <c r="Q28">
        <v>3.5</v>
      </c>
      <c r="R28">
        <f>SUM(J11:J13)</f>
        <v>243074</v>
      </c>
      <c r="S28">
        <f t="shared" si="1"/>
        <v>0.85075900000000004</v>
      </c>
      <c r="U28">
        <f t="shared" si="2"/>
        <v>2.35029574</v>
      </c>
    </row>
    <row r="29" spans="1:25" x14ac:dyDescent="0.4">
      <c r="K29" t="s">
        <v>68</v>
      </c>
      <c r="L29">
        <v>0.08</v>
      </c>
      <c r="M29">
        <f>SUM(I14:I16)</f>
        <v>988427</v>
      </c>
      <c r="N29">
        <f t="shared" si="0"/>
        <v>7.9074159999999991E-2</v>
      </c>
      <c r="Q29">
        <v>0.3</v>
      </c>
      <c r="R29">
        <f>SUM(J14:J16)</f>
        <v>24077</v>
      </c>
      <c r="S29">
        <f t="shared" si="1"/>
        <v>7.2230999999999997E-3</v>
      </c>
      <c r="U29">
        <f t="shared" si="2"/>
        <v>8.6297259999999987E-2</v>
      </c>
    </row>
    <row r="30" spans="1:25" x14ac:dyDescent="0.4">
      <c r="K30" t="s">
        <v>67</v>
      </c>
      <c r="L30">
        <v>0.32500000000000001</v>
      </c>
      <c r="M30">
        <f>SUM(I17:I19)</f>
        <v>2164158</v>
      </c>
      <c r="N30">
        <f t="shared" si="0"/>
        <v>0.70335135000000004</v>
      </c>
      <c r="Q30">
        <v>1.95</v>
      </c>
      <c r="R30">
        <f>SUM(J17:J19)</f>
        <v>258932</v>
      </c>
      <c r="S30">
        <f t="shared" si="1"/>
        <v>0.50491739999999996</v>
      </c>
      <c r="U30">
        <f t="shared" si="2"/>
        <v>1.20826875</v>
      </c>
    </row>
    <row r="32" spans="1:25" x14ac:dyDescent="0.4">
      <c r="J32" t="s">
        <v>70</v>
      </c>
      <c r="K32" t="s">
        <v>65</v>
      </c>
      <c r="Q32">
        <v>10</v>
      </c>
      <c r="R32">
        <f xml:space="preserve"> SUM(L2:L19)</f>
        <v>869150</v>
      </c>
      <c r="S32">
        <f t="shared" si="1"/>
        <v>8.6914999999999996</v>
      </c>
    </row>
    <row r="34" spans="21:21" x14ac:dyDescent="0.4">
      <c r="U34">
        <f>SUM(U25:U30)</f>
        <v>31.348534749999995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cost_run_summary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Yan</dc:creator>
  <cp:lastModifiedBy>Rosa Yan</cp:lastModifiedBy>
  <dcterms:modified xsi:type="dcterms:W3CDTF">2026-05-13T03:12:59Z</dcterms:modified>
</cp:coreProperties>
</file>